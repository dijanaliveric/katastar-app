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janje čestica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<sst xmlns="http://schemas.openxmlformats.org/spreadsheetml/2006/main" count="105" uniqueCount="71">
  <si>
    <t xml:space="preserve">Kovačuša</t>
  </si>
  <si>
    <t xml:space="preserve">Guvnina</t>
  </si>
  <si>
    <t xml:space="preserve">Zk. uložak</t>
  </si>
  <si>
    <t xml:space="preserve">Čestica</t>
  </si>
  <si>
    <r>
      <rPr>
        <b val="true"/>
        <sz val="12"/>
        <rFont val="Arial"/>
        <family val="2"/>
      </rPr>
      <t xml:space="preserve">Površina m</t>
    </r>
    <r>
      <rPr>
        <b val="true"/>
        <vertAlign val="superscript"/>
        <sz val="12"/>
        <rFont val="Arial"/>
        <family val="2"/>
      </rPr>
      <t xml:space="preserve">2</t>
    </r>
  </si>
  <si>
    <t xml:space="preserve">Napomena</t>
  </si>
  <si>
    <t xml:space="preserve">1386/3</t>
  </si>
  <si>
    <t xml:space="preserve">2105/1</t>
  </si>
  <si>
    <t xml:space="preserve">1386/4</t>
  </si>
  <si>
    <t xml:space="preserve">2105/2</t>
  </si>
  <si>
    <t xml:space="preserve">MLINAR BOŽO,ANTIN </t>
  </si>
  <si>
    <t xml:space="preserve">1386/5</t>
  </si>
  <si>
    <t xml:space="preserve">2105/3</t>
  </si>
  <si>
    <t xml:space="preserve">1386/6</t>
  </si>
  <si>
    <t xml:space="preserve">2105/4</t>
  </si>
  <si>
    <t xml:space="preserve">1386/20</t>
  </si>
  <si>
    <t xml:space="preserve">2105/5</t>
  </si>
  <si>
    <t xml:space="preserve">Ukupno:</t>
  </si>
  <si>
    <t xml:space="preserve">2105/6</t>
  </si>
  <si>
    <t xml:space="preserve">Nalazi se preko puta ceste nije  nužno spajati</t>
  </si>
  <si>
    <t xml:space="preserve">2105/7</t>
  </si>
  <si>
    <t xml:space="preserve">MLINAR MILENKO,TRIVUNOV </t>
  </si>
  <si>
    <t xml:space="preserve">2105/8</t>
  </si>
  <si>
    <t xml:space="preserve">2105/9</t>
  </si>
  <si>
    <t xml:space="preserve">2105/10</t>
  </si>
  <si>
    <t xml:space="preserve">2106/1</t>
  </si>
  <si>
    <t xml:space="preserve">Guvnište</t>
  </si>
  <si>
    <t xml:space="preserve">2106/2</t>
  </si>
  <si>
    <t xml:space="preserve">2106/3</t>
  </si>
  <si>
    <t xml:space="preserve">Sveukupno</t>
  </si>
  <si>
    <t xml:space="preserve">Ukupno na zk.ul: 5254</t>
  </si>
  <si>
    <t xml:space="preserve">1963/2</t>
  </si>
  <si>
    <t xml:space="preserve">MLINAR MILENKO,TRIVUNOV, MLINAR ANICA UD.BOŽE </t>
  </si>
  <si>
    <t xml:space="preserve">1963/3</t>
  </si>
  <si>
    <t xml:space="preserve">1963/4</t>
  </si>
  <si>
    <t xml:space="preserve">1963/5</t>
  </si>
  <si>
    <t xml:space="preserve">MLINAR ANICA UD.BOŽE </t>
  </si>
  <si>
    <t xml:space="preserve">Dobrojuša</t>
  </si>
  <si>
    <t xml:space="preserve">1963/6</t>
  </si>
  <si>
    <t xml:space="preserve">1965/1</t>
  </si>
  <si>
    <t xml:space="preserve">1965/2</t>
  </si>
  <si>
    <t xml:space="preserve">1965/3</t>
  </si>
  <si>
    <t xml:space="preserve">1436/1</t>
  </si>
  <si>
    <t xml:space="preserve">Dijeli se s Lazom I Marijom ud.Ilije</t>
  </si>
  <si>
    <t xml:space="preserve">1467/11</t>
  </si>
  <si>
    <t xml:space="preserve">Ograde – Dijeli se s Lazom I Marijom ud.Ilije</t>
  </si>
  <si>
    <t xml:space="preserve">Ukupno (bez Milenka I Anice)</t>
  </si>
  <si>
    <t xml:space="preserve">Njive u selu</t>
  </si>
  <si>
    <t xml:space="preserve">2015/1</t>
  </si>
  <si>
    <t xml:space="preserve">2015/2</t>
  </si>
  <si>
    <t xml:space="preserve">Jurišani – Šarići</t>
  </si>
  <si>
    <t xml:space="preserve">2015/3</t>
  </si>
  <si>
    <t xml:space="preserve">1990/2</t>
  </si>
  <si>
    <t xml:space="preserve">1990/3</t>
  </si>
  <si>
    <t xml:space="preserve">1990/4</t>
  </si>
  <si>
    <t xml:space="preserve">1467/39</t>
  </si>
  <si>
    <t xml:space="preserve">Groć- MLINAR JOVAN,JOSIN, MLINAR ALEKSA,PETROV I BLAGOJE,POK.STEVANA</t>
  </si>
  <si>
    <t xml:space="preserve">1990/6</t>
  </si>
  <si>
    <t xml:space="preserve">1467/41</t>
  </si>
  <si>
    <t xml:space="preserve">Grić – ima ga na nekoliko posjedovnica, uključujući I mlinar jovan, josin</t>
  </si>
  <si>
    <t xml:space="preserve">1990/7</t>
  </si>
  <si>
    <t xml:space="preserve">Plickovo -nadovezuje se na 1467/41</t>
  </si>
  <si>
    <t xml:space="preserve">Nakon skretanja u Mlinare</t>
  </si>
  <si>
    <t xml:space="preserve">2058/1</t>
  </si>
  <si>
    <t xml:space="preserve">Na Ogradama</t>
  </si>
  <si>
    <t xml:space="preserve">2058/6</t>
  </si>
  <si>
    <t xml:space="preserve">Ograde</t>
  </si>
  <si>
    <t xml:space="preserve">2058/5</t>
  </si>
  <si>
    <t xml:space="preserve">MLINAR MILENKO,TRIVUNOV, MLINAR RADE,SREĆKOV</t>
  </si>
  <si>
    <t xml:space="preserve">1912/3 </t>
  </si>
  <si>
    <t xml:space="preserve">kršić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</si>
</sst>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</font>
    <font>
      <b val="true"/>
      <sz val="12"/>
      <name val="Arial"/>
      <family val="2"/>
    </font>
    <font>
      <b val="true"/>
      <vertAlign val="superscript"/>
      <sz val="12"/>
      <name val="Arial"/>
      <family val="2"/>
    </font>
    <font>
      <sz val="12"/>
      <name val="Arial"/>
      <family val="2"/>
    </font>
    <font>
      <sz val="10"/>
      <name val="Times New Roman"/>
      <family val="1"/>
    </font>
    <font>
      <b val="true"/>
      <sz val="12"/>
      <color rgb="FFC9211E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72"/>
  <sheetViews>
    <sheetView showFormulas="false" showGridLines="true" showRowColHeaders="true" showZeros="true" rightToLeft="false" tabSelected="true" showOutlineSymbols="true" defaultGridColor="true" view="normal" topLeftCell="A42" colorId="64" zoomScale="100" zoomScaleNormal="100" zoomScalePageLayoutView="100" workbookViewId="0">
      <selection pane="topLeft" activeCell="E66" activeCellId="0" sqref="E6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62"/>
    <col collapsed="false" customWidth="true" hidden="false" outlineLevel="0" max="2" min="2" style="0" width="19.33"/>
    <col collapsed="false" customWidth="true" hidden="false" outlineLevel="0" max="3" min="3" style="0" width="14.19"/>
    <col collapsed="false" customWidth="true" hidden="false" outlineLevel="0" max="4" min="4" style="0" width="13.35"/>
    <col collapsed="false" customWidth="true" hidden="false" outlineLevel="0" max="5" min="5" style="0" width="46.88"/>
    <col collapsed="false" customWidth="true" hidden="false" outlineLevel="0" max="7" min="7" style="0" width="9.18"/>
    <col collapsed="false" customWidth="true" hidden="false" outlineLevel="0" max="8" min="8" style="0" width="15.16"/>
    <col collapsed="false" customWidth="true" hidden="false" outlineLevel="0" max="9" min="9" style="0" width="14.46"/>
    <col collapsed="false" customWidth="true" hidden="false" outlineLevel="0" max="10" min="10" style="0" width="14.6"/>
    <col collapsed="false" customWidth="true" hidden="false" outlineLevel="0" max="11" min="11" style="0" width="27.95"/>
    <col collapsed="false" customWidth="true" hidden="false" outlineLevel="0" max="12" min="12" style="0" width="37.56"/>
  </cols>
  <sheetData>
    <row r="2" customFormat="false" ht="24.45" hidden="false" customHeight="false" outlineLevel="0" collapsed="false">
      <c r="A2" s="1" t="s">
        <v>0</v>
      </c>
      <c r="B2" s="1"/>
      <c r="H2" s="2" t="s">
        <v>1</v>
      </c>
      <c r="I2" s="2"/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  <c r="E4" s="3" t="s">
        <v>5</v>
      </c>
      <c r="H4" s="3" t="s">
        <v>2</v>
      </c>
      <c r="I4" s="3" t="s">
        <v>3</v>
      </c>
      <c r="J4" s="3" t="s">
        <v>4</v>
      </c>
      <c r="K4" s="3" t="s">
        <v>5</v>
      </c>
    </row>
    <row r="5" customFormat="false" ht="15" hidden="false" customHeight="false" outlineLevel="0" collapsed="false">
      <c r="B5" s="4"/>
      <c r="C5" s="4"/>
      <c r="D5" s="4"/>
      <c r="E5" s="4"/>
      <c r="H5" s="4"/>
      <c r="I5" s="4"/>
      <c r="J5" s="4"/>
      <c r="K5" s="4"/>
    </row>
    <row r="6" customFormat="false" ht="15" hidden="false" customHeight="false" outlineLevel="0" collapsed="false">
      <c r="B6" s="4" t="n">
        <v>5245</v>
      </c>
      <c r="C6" s="5" t="s">
        <v>6</v>
      </c>
      <c r="D6" s="4" t="n">
        <v>3773</v>
      </c>
      <c r="E6" s="4"/>
      <c r="H6" s="4" t="n">
        <v>5254</v>
      </c>
      <c r="I6" s="5" t="s">
        <v>7</v>
      </c>
      <c r="J6" s="4" t="n">
        <v>10107</v>
      </c>
      <c r="K6" s="4"/>
    </row>
    <row r="7" customFormat="false" ht="15" hidden="false" customHeight="false" outlineLevel="0" collapsed="false">
      <c r="B7" s="4"/>
      <c r="C7" s="5" t="s">
        <v>8</v>
      </c>
      <c r="D7" s="4" t="n">
        <v>303</v>
      </c>
      <c r="E7" s="4"/>
      <c r="H7" s="4" t="n">
        <v>978</v>
      </c>
      <c r="I7" s="5" t="s">
        <v>9</v>
      </c>
      <c r="J7" s="4" t="n">
        <v>9531</v>
      </c>
      <c r="K7" s="6" t="s">
        <v>10</v>
      </c>
    </row>
    <row r="8" customFormat="false" ht="15" hidden="false" customHeight="false" outlineLevel="0" collapsed="false">
      <c r="B8" s="4"/>
      <c r="C8" s="5" t="s">
        <v>11</v>
      </c>
      <c r="D8" s="4" t="n">
        <v>1228</v>
      </c>
      <c r="E8" s="4"/>
      <c r="H8" s="4" t="n">
        <v>5254</v>
      </c>
      <c r="I8" s="5" t="s">
        <v>12</v>
      </c>
      <c r="J8" s="4" t="n">
        <v>1449</v>
      </c>
      <c r="K8" s="4"/>
    </row>
    <row r="9" customFormat="false" ht="15" hidden="false" customHeight="false" outlineLevel="0" collapsed="false">
      <c r="B9" s="4"/>
      <c r="C9" s="5" t="s">
        <v>13</v>
      </c>
      <c r="D9" s="4" t="n">
        <v>2443</v>
      </c>
      <c r="E9" s="4"/>
      <c r="H9" s="4" t="n">
        <v>5254</v>
      </c>
      <c r="I9" s="5" t="s">
        <v>14</v>
      </c>
      <c r="J9" s="4" t="n">
        <v>133</v>
      </c>
      <c r="K9" s="4"/>
    </row>
    <row r="10" customFormat="false" ht="15" hidden="false" customHeight="false" outlineLevel="0" collapsed="false">
      <c r="B10" s="4"/>
      <c r="C10" s="5" t="s">
        <v>15</v>
      </c>
      <c r="D10" s="4" t="n">
        <v>574</v>
      </c>
      <c r="E10" s="4"/>
      <c r="H10" s="4" t="n">
        <v>5254</v>
      </c>
      <c r="I10" s="5" t="s">
        <v>16</v>
      </c>
      <c r="J10" s="4" t="n">
        <v>626</v>
      </c>
      <c r="K10" s="4"/>
    </row>
    <row r="11" customFormat="false" ht="15" hidden="false" customHeight="false" outlineLevel="0" collapsed="false">
      <c r="B11" s="7" t="s">
        <v>17</v>
      </c>
      <c r="C11" s="7"/>
      <c r="D11" s="8" t="n">
        <f aca="false">SUM(D6:D10)</f>
        <v>8321</v>
      </c>
      <c r="E11" s="4"/>
      <c r="H11" s="9" t="n">
        <v>5254</v>
      </c>
      <c r="I11" s="5" t="s">
        <v>18</v>
      </c>
      <c r="J11" s="4" t="n">
        <v>1548</v>
      </c>
      <c r="K11" s="4"/>
    </row>
    <row r="12" customFormat="false" ht="17.15" hidden="false" customHeight="true" outlineLevel="0" collapsed="false">
      <c r="B12" s="4" t="n">
        <v>978</v>
      </c>
      <c r="C12" s="5" t="n">
        <v>2104</v>
      </c>
      <c r="D12" s="8" t="n">
        <v>8125</v>
      </c>
      <c r="E12" s="10" t="s">
        <v>19</v>
      </c>
      <c r="H12" s="4" t="n">
        <v>978</v>
      </c>
      <c r="I12" s="5" t="s">
        <v>20</v>
      </c>
      <c r="J12" s="4" t="n">
        <v>2355</v>
      </c>
      <c r="K12" s="11" t="s">
        <v>21</v>
      </c>
    </row>
    <row r="13" customFormat="false" ht="15" hidden="false" customHeight="false" outlineLevel="0" collapsed="false">
      <c r="H13" s="4" t="n">
        <v>5254</v>
      </c>
      <c r="I13" s="5" t="s">
        <v>22</v>
      </c>
      <c r="J13" s="4" t="n">
        <v>1631</v>
      </c>
      <c r="K13" s="10"/>
    </row>
    <row r="14" customFormat="false" ht="15" hidden="false" customHeight="false" outlineLevel="0" collapsed="false">
      <c r="H14" s="4" t="n">
        <v>978</v>
      </c>
      <c r="I14" s="5" t="s">
        <v>23</v>
      </c>
      <c r="J14" s="4" t="n">
        <v>3003</v>
      </c>
      <c r="K14" s="11" t="s">
        <v>21</v>
      </c>
    </row>
    <row r="15" customFormat="false" ht="15" hidden="false" customHeight="false" outlineLevel="0" collapsed="false">
      <c r="H15" s="4" t="n">
        <v>5254</v>
      </c>
      <c r="I15" s="5" t="s">
        <v>24</v>
      </c>
      <c r="J15" s="4" t="n">
        <v>1412</v>
      </c>
      <c r="K15" s="10"/>
    </row>
    <row r="16" customFormat="false" ht="15" hidden="false" customHeight="false" outlineLevel="0" collapsed="false">
      <c r="H16" s="4" t="n">
        <v>5254</v>
      </c>
      <c r="I16" s="5" t="s">
        <v>25</v>
      </c>
      <c r="J16" s="4" t="n">
        <v>625</v>
      </c>
      <c r="K16" s="10"/>
    </row>
    <row r="17" customFormat="false" ht="24.45" hidden="false" customHeight="false" outlineLevel="0" collapsed="false">
      <c r="A17" s="1" t="s">
        <v>26</v>
      </c>
      <c r="B17" s="1"/>
      <c r="H17" s="4" t="n">
        <v>5254</v>
      </c>
      <c r="I17" s="5" t="s">
        <v>27</v>
      </c>
      <c r="J17" s="4" t="n">
        <v>1073</v>
      </c>
      <c r="K17" s="10"/>
    </row>
    <row r="18" customFormat="false" ht="15" hidden="false" customHeight="false" outlineLevel="0" collapsed="false">
      <c r="H18" s="4" t="n">
        <v>5254</v>
      </c>
      <c r="I18" s="5" t="s">
        <v>28</v>
      </c>
      <c r="J18" s="4" t="n">
        <v>708</v>
      </c>
      <c r="K18" s="10"/>
    </row>
    <row r="19" customFormat="false" ht="15" hidden="false" customHeight="false" outlineLevel="0" collapsed="false">
      <c r="B19" s="3" t="s">
        <v>2</v>
      </c>
      <c r="C19" s="3" t="s">
        <v>3</v>
      </c>
      <c r="D19" s="3" t="s">
        <v>4</v>
      </c>
      <c r="E19" s="3" t="s">
        <v>5</v>
      </c>
      <c r="H19" s="7" t="s">
        <v>29</v>
      </c>
      <c r="I19" s="7"/>
      <c r="J19" s="8" t="n">
        <f aca="false">SUM(J6:J18)</f>
        <v>34201</v>
      </c>
      <c r="K19" s="12"/>
    </row>
    <row r="20" customFormat="false" ht="15" hidden="false" customHeight="false" outlineLevel="0" collapsed="false">
      <c r="B20" s="4"/>
      <c r="C20" s="4"/>
      <c r="D20" s="4"/>
      <c r="E20" s="4"/>
      <c r="H20" s="7" t="s">
        <v>30</v>
      </c>
      <c r="I20" s="7"/>
      <c r="J20" s="8" t="n">
        <f aca="false">SUMIF(H6:H18, "5254", J6:J18)</f>
        <v>19312</v>
      </c>
      <c r="K20" s="12"/>
    </row>
    <row r="21" customFormat="false" ht="23.85" hidden="false" customHeight="false" outlineLevel="0" collapsed="false">
      <c r="B21" s="4" t="n">
        <v>376</v>
      </c>
      <c r="C21" s="5" t="s">
        <v>31</v>
      </c>
      <c r="D21" s="4" t="n">
        <v>281</v>
      </c>
      <c r="E21" s="6" t="s">
        <v>32</v>
      </c>
    </row>
    <row r="22" customFormat="false" ht="15" hidden="false" customHeight="false" outlineLevel="0" collapsed="false">
      <c r="B22" s="4" t="n">
        <v>376</v>
      </c>
      <c r="C22" s="5" t="s">
        <v>33</v>
      </c>
      <c r="D22" s="4" t="n">
        <v>234</v>
      </c>
      <c r="E22" s="6"/>
    </row>
    <row r="23" customFormat="false" ht="15" hidden="false" customHeight="false" outlineLevel="0" collapsed="false">
      <c r="B23" s="4" t="n">
        <v>376</v>
      </c>
      <c r="C23" s="5" t="s">
        <v>34</v>
      </c>
      <c r="D23" s="4" t="n">
        <v>257</v>
      </c>
      <c r="E23" s="4"/>
    </row>
    <row r="24" customFormat="false" ht="24.45" hidden="false" customHeight="false" outlineLevel="0" collapsed="false">
      <c r="B24" s="4" t="n">
        <v>376</v>
      </c>
      <c r="C24" s="5" t="s">
        <v>35</v>
      </c>
      <c r="D24" s="4" t="n">
        <v>31</v>
      </c>
      <c r="E24" s="6" t="s">
        <v>36</v>
      </c>
      <c r="H24" s="1" t="s">
        <v>37</v>
      </c>
      <c r="I24" s="1"/>
    </row>
    <row r="25" customFormat="false" ht="15" hidden="false" customHeight="false" outlineLevel="0" collapsed="false">
      <c r="B25" s="4" t="n">
        <v>376</v>
      </c>
      <c r="C25" s="5" t="s">
        <v>38</v>
      </c>
      <c r="D25" s="4" t="n">
        <v>115</v>
      </c>
      <c r="E25" s="4"/>
    </row>
    <row r="26" customFormat="false" ht="15" hidden="false" customHeight="false" outlineLevel="0" collapsed="false">
      <c r="B26" s="4" t="n">
        <v>376</v>
      </c>
      <c r="C26" s="5" t="s">
        <v>39</v>
      </c>
      <c r="D26" s="4" t="n">
        <v>251</v>
      </c>
      <c r="E26" s="4"/>
      <c r="I26" s="3" t="s">
        <v>2</v>
      </c>
      <c r="J26" s="3" t="s">
        <v>3</v>
      </c>
      <c r="K26" s="3" t="s">
        <v>4</v>
      </c>
      <c r="L26" s="3" t="s">
        <v>5</v>
      </c>
    </row>
    <row r="27" customFormat="false" ht="15" hidden="false" customHeight="false" outlineLevel="0" collapsed="false">
      <c r="B27" s="4" t="n">
        <v>376</v>
      </c>
      <c r="C27" s="5" t="s">
        <v>40</v>
      </c>
      <c r="D27" s="4" t="n">
        <v>187</v>
      </c>
      <c r="E27" s="4"/>
      <c r="I27" s="4"/>
      <c r="J27" s="4"/>
      <c r="K27" s="4"/>
      <c r="L27" s="4"/>
    </row>
    <row r="28" customFormat="false" ht="15" hidden="false" customHeight="false" outlineLevel="0" collapsed="false">
      <c r="B28" s="4" t="n">
        <v>376</v>
      </c>
      <c r="C28" s="5" t="s">
        <v>41</v>
      </c>
      <c r="D28" s="4" t="n">
        <v>324</v>
      </c>
      <c r="E28" s="4"/>
      <c r="I28" s="4" t="n">
        <v>375</v>
      </c>
      <c r="J28" s="13" t="s">
        <v>42</v>
      </c>
      <c r="K28" s="4" t="n">
        <v>4416</v>
      </c>
      <c r="L28" s="4" t="s">
        <v>43</v>
      </c>
    </row>
    <row r="29" customFormat="false" ht="26.85" hidden="false" customHeight="false" outlineLevel="0" collapsed="false">
      <c r="B29" s="4" t="n">
        <v>5337</v>
      </c>
      <c r="C29" s="14" t="n">
        <v>1968</v>
      </c>
      <c r="D29" s="4" t="n">
        <v>532</v>
      </c>
      <c r="E29" s="4"/>
      <c r="I29" s="4" t="n">
        <v>375</v>
      </c>
      <c r="J29" s="5" t="s">
        <v>44</v>
      </c>
      <c r="K29" s="4" t="n">
        <v>10171</v>
      </c>
      <c r="L29" s="10" t="s">
        <v>45</v>
      </c>
    </row>
    <row r="30" customFormat="false" ht="15" hidden="false" customHeight="false" outlineLevel="0" collapsed="false">
      <c r="B30" s="4" t="n">
        <v>377</v>
      </c>
      <c r="C30" s="5" t="n">
        <v>1969</v>
      </c>
      <c r="D30" s="4" t="n">
        <v>2894</v>
      </c>
      <c r="E30" s="4"/>
      <c r="I30" s="4"/>
      <c r="J30" s="5"/>
      <c r="K30" s="4"/>
      <c r="L30" s="6"/>
    </row>
    <row r="31" customFormat="false" ht="15" hidden="false" customHeight="false" outlineLevel="0" collapsed="false">
      <c r="B31" s="7" t="s">
        <v>29</v>
      </c>
      <c r="C31" s="7"/>
      <c r="D31" s="8" t="n">
        <f aca="false">SUM(D21:D30)</f>
        <v>5106</v>
      </c>
      <c r="E31" s="8"/>
      <c r="I31" s="4"/>
      <c r="J31" s="5"/>
      <c r="K31" s="4"/>
      <c r="L31" s="4"/>
    </row>
    <row r="32" customFormat="false" ht="15" hidden="false" customHeight="false" outlineLevel="0" collapsed="false">
      <c r="B32" s="7" t="s">
        <v>46</v>
      </c>
      <c r="C32" s="7"/>
      <c r="D32" s="8" t="n">
        <f aca="false">SUMIF(E21:E28, "", D21:D28)</f>
        <v>1368</v>
      </c>
      <c r="E32" s="8"/>
      <c r="I32" s="4"/>
      <c r="J32" s="5"/>
      <c r="K32" s="4"/>
      <c r="L32" s="6"/>
    </row>
    <row r="33" customFormat="false" ht="15" hidden="false" customHeight="false" outlineLevel="0" collapsed="false">
      <c r="I33" s="4"/>
      <c r="J33" s="5"/>
      <c r="K33" s="4"/>
      <c r="L33" s="4"/>
    </row>
    <row r="34" customFormat="false" ht="15" hidden="false" customHeight="false" outlineLevel="0" collapsed="false">
      <c r="I34" s="4"/>
      <c r="J34" s="5"/>
      <c r="K34" s="4"/>
      <c r="L34" s="4"/>
    </row>
    <row r="35" customFormat="false" ht="15" hidden="false" customHeight="false" outlineLevel="0" collapsed="false">
      <c r="I35" s="4"/>
      <c r="J35" s="5"/>
      <c r="K35" s="4"/>
      <c r="L35" s="4"/>
    </row>
    <row r="36" customFormat="false" ht="24.45" hidden="false" customHeight="false" outlineLevel="0" collapsed="false">
      <c r="A36" s="1" t="s">
        <v>47</v>
      </c>
      <c r="B36" s="1"/>
      <c r="I36" s="4"/>
      <c r="J36" s="5"/>
      <c r="K36" s="4"/>
      <c r="L36" s="4"/>
    </row>
    <row r="37" customFormat="false" ht="15" hidden="false" customHeight="false" outlineLevel="0" collapsed="false">
      <c r="I37" s="7" t="s">
        <v>29</v>
      </c>
      <c r="J37" s="7"/>
      <c r="K37" s="8" t="n">
        <f aca="false">SUM(K28:K36)</f>
        <v>14587</v>
      </c>
      <c r="L37" s="8"/>
    </row>
    <row r="38" customFormat="false" ht="15" hidden="false" customHeight="false" outlineLevel="0" collapsed="false">
      <c r="B38" s="3" t="s">
        <v>2</v>
      </c>
      <c r="C38" s="3" t="s">
        <v>3</v>
      </c>
      <c r="D38" s="3" t="s">
        <v>4</v>
      </c>
      <c r="E38" s="3" t="s">
        <v>5</v>
      </c>
    </row>
    <row r="39" customFormat="false" ht="15" hidden="false" customHeight="false" outlineLevel="0" collapsed="false">
      <c r="B39" s="4"/>
      <c r="C39" s="4"/>
      <c r="D39" s="4"/>
      <c r="E39" s="4"/>
    </row>
    <row r="40" customFormat="false" ht="15" hidden="false" customHeight="false" outlineLevel="0" collapsed="false">
      <c r="B40" s="4" t="n">
        <v>5210</v>
      </c>
      <c r="C40" s="13" t="s">
        <v>48</v>
      </c>
      <c r="D40" s="4" t="n">
        <v>1176</v>
      </c>
      <c r="E40" s="4"/>
    </row>
    <row r="41" customFormat="false" ht="24.45" hidden="false" customHeight="false" outlineLevel="0" collapsed="false">
      <c r="B41" s="4" t="n">
        <v>378</v>
      </c>
      <c r="C41" s="5" t="s">
        <v>49</v>
      </c>
      <c r="D41" s="4" t="n">
        <v>803</v>
      </c>
      <c r="E41" s="6"/>
      <c r="H41" s="15" t="s">
        <v>50</v>
      </c>
      <c r="I41" s="15"/>
    </row>
    <row r="42" customFormat="false" ht="15" hidden="false" customHeight="false" outlineLevel="0" collapsed="false">
      <c r="B42" s="4" t="n">
        <v>378</v>
      </c>
      <c r="C42" s="5" t="s">
        <v>51</v>
      </c>
      <c r="D42" s="4" t="n">
        <v>675</v>
      </c>
      <c r="E42" s="6"/>
    </row>
    <row r="43" customFormat="false" ht="15" hidden="false" customHeight="false" outlineLevel="0" collapsed="false">
      <c r="B43" s="4" t="n">
        <v>5252</v>
      </c>
      <c r="C43" s="5" t="s">
        <v>52</v>
      </c>
      <c r="D43" s="4" t="n">
        <v>1099</v>
      </c>
      <c r="E43" s="4"/>
      <c r="I43" s="3" t="s">
        <v>2</v>
      </c>
      <c r="J43" s="3" t="s">
        <v>3</v>
      </c>
      <c r="K43" s="3" t="s">
        <v>4</v>
      </c>
      <c r="L43" s="3" t="s">
        <v>5</v>
      </c>
    </row>
    <row r="44" customFormat="false" ht="15" hidden="false" customHeight="false" outlineLevel="0" collapsed="false">
      <c r="B44" s="4" t="n">
        <v>5252</v>
      </c>
      <c r="C44" s="5" t="s">
        <v>53</v>
      </c>
      <c r="D44" s="4" t="n">
        <v>2952</v>
      </c>
      <c r="E44" s="6"/>
      <c r="I44" s="4"/>
      <c r="J44" s="4"/>
      <c r="K44" s="4"/>
      <c r="L44" s="4"/>
    </row>
    <row r="45" customFormat="false" ht="35.05" hidden="false" customHeight="false" outlineLevel="0" collapsed="false">
      <c r="B45" s="4" t="n">
        <v>5252</v>
      </c>
      <c r="C45" s="5" t="s">
        <v>54</v>
      </c>
      <c r="D45" s="4" t="n">
        <v>2360</v>
      </c>
      <c r="E45" s="4"/>
      <c r="I45" s="4" t="n">
        <v>375</v>
      </c>
      <c r="J45" s="13" t="s">
        <v>55</v>
      </c>
      <c r="K45" s="4" t="n">
        <v>2557</v>
      </c>
      <c r="L45" s="16" t="s">
        <v>56</v>
      </c>
    </row>
    <row r="46" customFormat="false" ht="39.55" hidden="false" customHeight="false" outlineLevel="0" collapsed="false">
      <c r="B46" s="4" t="n">
        <v>5252</v>
      </c>
      <c r="C46" s="5" t="s">
        <v>57</v>
      </c>
      <c r="D46" s="4" t="n">
        <v>1215</v>
      </c>
      <c r="E46" s="4"/>
      <c r="I46" s="4" t="n">
        <v>375</v>
      </c>
      <c r="J46" s="5" t="s">
        <v>58</v>
      </c>
      <c r="K46" s="4" t="n">
        <v>16224</v>
      </c>
      <c r="L46" s="10" t="s">
        <v>59</v>
      </c>
    </row>
    <row r="47" customFormat="false" ht="15" hidden="false" customHeight="false" outlineLevel="0" collapsed="false">
      <c r="B47" s="4"/>
      <c r="C47" s="5" t="s">
        <v>60</v>
      </c>
      <c r="D47" s="4" t="n">
        <v>627</v>
      </c>
      <c r="E47" s="4"/>
      <c r="I47" s="4" t="n">
        <v>5148</v>
      </c>
      <c r="J47" s="14" t="n">
        <v>1388</v>
      </c>
      <c r="K47" s="4" t="n">
        <v>755</v>
      </c>
      <c r="L47" s="6" t="s">
        <v>61</v>
      </c>
    </row>
    <row r="48" customFormat="false" ht="15" hidden="false" customHeight="false" outlineLevel="0" collapsed="false">
      <c r="B48" s="4" t="n">
        <v>5337</v>
      </c>
      <c r="C48" s="14" t="n">
        <v>2005</v>
      </c>
      <c r="D48" s="4" t="n">
        <v>208</v>
      </c>
      <c r="E48" s="4"/>
      <c r="I48" s="4"/>
      <c r="J48" s="5"/>
      <c r="K48" s="4"/>
      <c r="L48" s="4"/>
    </row>
    <row r="49" customFormat="false" ht="15" hidden="false" customHeight="false" outlineLevel="0" collapsed="false">
      <c r="B49" s="7" t="s">
        <v>29</v>
      </c>
      <c r="C49" s="7"/>
      <c r="D49" s="8" t="n">
        <f aca="false">SUM(D40:D48)</f>
        <v>11115</v>
      </c>
      <c r="E49" s="8"/>
      <c r="I49" s="4"/>
      <c r="J49" s="5"/>
      <c r="K49" s="4"/>
      <c r="L49" s="6"/>
    </row>
    <row r="50" customFormat="false" ht="15" hidden="false" customHeight="false" outlineLevel="0" collapsed="false">
      <c r="I50" s="4"/>
      <c r="J50" s="5"/>
      <c r="K50" s="4"/>
      <c r="L50" s="4"/>
    </row>
    <row r="51" customFormat="false" ht="15" hidden="false" customHeight="false" outlineLevel="0" collapsed="false">
      <c r="I51" s="4"/>
      <c r="J51" s="5"/>
      <c r="K51" s="4"/>
      <c r="L51" s="4"/>
    </row>
    <row r="52" customFormat="false" ht="15" hidden="false" customHeight="false" outlineLevel="0" collapsed="false">
      <c r="I52" s="4"/>
      <c r="J52" s="5"/>
      <c r="K52" s="4"/>
      <c r="L52" s="4"/>
    </row>
    <row r="53" customFormat="false" ht="15" hidden="false" customHeight="false" outlineLevel="0" collapsed="false">
      <c r="I53" s="4"/>
      <c r="J53" s="5"/>
      <c r="K53" s="4"/>
      <c r="L53" s="4"/>
    </row>
    <row r="54" customFormat="false" ht="15" hidden="false" customHeight="false" outlineLevel="0" collapsed="false">
      <c r="I54" s="7" t="s">
        <v>29</v>
      </c>
      <c r="J54" s="7"/>
      <c r="K54" s="8" t="n">
        <f aca="false">SUM(K45:K53)</f>
        <v>19536</v>
      </c>
      <c r="L54" s="8"/>
    </row>
    <row r="59" customFormat="false" ht="24.45" hidden="false" customHeight="false" outlineLevel="0" collapsed="false">
      <c r="H59" s="15" t="s">
        <v>62</v>
      </c>
      <c r="I59" s="15"/>
      <c r="J59" s="15"/>
      <c r="K59" s="15"/>
    </row>
    <row r="61" customFormat="false" ht="15" hidden="false" customHeight="false" outlineLevel="0" collapsed="false">
      <c r="I61" s="3" t="s">
        <v>2</v>
      </c>
      <c r="J61" s="3" t="s">
        <v>3</v>
      </c>
      <c r="K61" s="3" t="s">
        <v>4</v>
      </c>
      <c r="L61" s="3" t="s">
        <v>5</v>
      </c>
    </row>
    <row r="62" customFormat="false" ht="15" hidden="false" customHeight="false" outlineLevel="0" collapsed="false">
      <c r="I62" s="4"/>
      <c r="J62" s="4"/>
      <c r="K62" s="4"/>
      <c r="L62" s="4"/>
    </row>
    <row r="63" customFormat="false" ht="15" hidden="false" customHeight="false" outlineLevel="0" collapsed="false">
      <c r="I63" s="4" t="n">
        <v>5219</v>
      </c>
      <c r="J63" s="17" t="s">
        <v>63</v>
      </c>
      <c r="K63" s="4" t="n">
        <v>2756</v>
      </c>
      <c r="L63" s="16" t="s">
        <v>64</v>
      </c>
    </row>
    <row r="64" customFormat="false" ht="15" hidden="false" customHeight="false" outlineLevel="0" collapsed="false">
      <c r="I64" s="4" t="n">
        <v>5219</v>
      </c>
      <c r="J64" s="14" t="s">
        <v>65</v>
      </c>
      <c r="K64" s="4" t="n">
        <v>831</v>
      </c>
      <c r="L64" s="10" t="s">
        <v>66</v>
      </c>
    </row>
    <row r="65" customFormat="false" ht="23.85" hidden="false" customHeight="false" outlineLevel="0" collapsed="false">
      <c r="I65" s="4" t="n">
        <v>379</v>
      </c>
      <c r="J65" s="18" t="s">
        <v>67</v>
      </c>
      <c r="K65" s="4" t="n">
        <v>502</v>
      </c>
      <c r="L65" s="6" t="s">
        <v>68</v>
      </c>
    </row>
    <row r="66" customFormat="false" ht="15" hidden="false" customHeight="false" outlineLevel="0" collapsed="false">
      <c r="I66" s="4"/>
      <c r="J66" s="5"/>
      <c r="K66" s="4"/>
      <c r="L66" s="4"/>
    </row>
    <row r="67" customFormat="false" ht="15" hidden="false" customHeight="false" outlineLevel="0" collapsed="false">
      <c r="I67" s="4"/>
      <c r="J67" s="5"/>
      <c r="K67" s="4"/>
      <c r="L67" s="6"/>
    </row>
    <row r="68" customFormat="false" ht="15" hidden="false" customHeight="false" outlineLevel="0" collapsed="false">
      <c r="I68" s="4"/>
      <c r="J68" s="5"/>
      <c r="K68" s="4"/>
      <c r="L68" s="4"/>
    </row>
    <row r="69" customFormat="false" ht="15" hidden="false" customHeight="false" outlineLevel="0" collapsed="false">
      <c r="I69" s="4"/>
      <c r="J69" s="5"/>
      <c r="K69" s="4"/>
      <c r="L69" s="4"/>
    </row>
    <row r="70" customFormat="false" ht="15" hidden="false" customHeight="false" outlineLevel="0" collapsed="false">
      <c r="I70" s="4"/>
      <c r="J70" s="5"/>
      <c r="K70" s="4"/>
      <c r="L70" s="4"/>
    </row>
    <row r="71" customFormat="false" ht="15" hidden="false" customHeight="false" outlineLevel="0" collapsed="false">
      <c r="I71" s="4"/>
      <c r="J71" s="5"/>
      <c r="K71" s="4"/>
      <c r="L71" s="4"/>
    </row>
    <row r="72" customFormat="false" ht="15" hidden="false" customHeight="false" outlineLevel="0" collapsed="false">
      <c r="I72" s="7" t="s">
        <v>29</v>
      </c>
      <c r="J72" s="7"/>
      <c r="K72" s="8" t="n">
        <f aca="false">SUM(K63:K71)</f>
        <v>4089</v>
      </c>
      <c r="L72" s="8"/>
    </row>
  </sheetData>
  <mergeCells count="16">
    <mergeCell ref="A2:B2"/>
    <mergeCell ref="H2:I2"/>
    <mergeCell ref="B11:C11"/>
    <mergeCell ref="A17:B17"/>
    <mergeCell ref="H19:I19"/>
    <mergeCell ref="H20:I20"/>
    <mergeCell ref="H24:I24"/>
    <mergeCell ref="B31:C31"/>
    <mergeCell ref="B32:C32"/>
    <mergeCell ref="A36:B36"/>
    <mergeCell ref="I37:J37"/>
    <mergeCell ref="H41:I41"/>
    <mergeCell ref="B49:C49"/>
    <mergeCell ref="I54:J54"/>
    <mergeCell ref="H59:K59"/>
    <mergeCell ref="I72:J7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78"/>
    <col collapsed="false" customWidth="true" hidden="false" outlineLevel="0" max="3" min="3" style="0" width="24.62"/>
    <col collapsed="false" customWidth="true" hidden="false" outlineLevel="0" max="4" min="4" style="0" width="17.8"/>
  </cols>
  <sheetData>
    <row r="1" customFormat="false" ht="15" hidden="false" customHeight="false" outlineLevel="0" collapsed="false">
      <c r="A1" s="3"/>
      <c r="B1" s="3"/>
      <c r="C1" s="3"/>
      <c r="D1" s="3"/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</row>
    <row r="3" customFormat="false" ht="15" hidden="false" customHeight="false" outlineLevel="0" collapsed="false">
      <c r="A3" s="19" t="n">
        <v>376</v>
      </c>
      <c r="B3" s="19" t="s">
        <v>69</v>
      </c>
      <c r="C3" s="19" t="n">
        <v>257</v>
      </c>
      <c r="D3" s="19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2026-06-24T16:07:42Z</dcterms:created>
  <dc:creator/>
  <dc:description/>
  <dc:language>en-US</dc:language>
  <cp:lastModifiedBy/>
  <dcterms:modified xsi:type="dcterms:W3CDTF">2026-06-25T16:21:48Z</dcterms:modified>
  <cp:revision>47</cp:revision>
  <dc:subject/>
  <dc:title/>
</cp:coreProperties>
</file>